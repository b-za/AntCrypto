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/.CMVolumes/BG Drive/-AHS - All/SARS Returns/2022FY/Income Tax/Docs/Crypto/"/>
    </mc:Choice>
  </mc:AlternateContent>
  <xr:revisionPtr revIDLastSave="0" documentId="13_ncr:1_{4BF9277A-A49A-9841-8A6E-4DFC0D32BE4F}" xr6:coauthVersionLast="47" xr6:coauthVersionMax="47" xr10:uidLastSave="{00000000-0000-0000-0000-000000000000}"/>
  <bookViews>
    <workbookView xWindow="4980" yWindow="500" windowWidth="13440" windowHeight="14860" xr2:uid="{AE7AD23A-C329-114C-98B9-60E9CB648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6" i="1"/>
  <c r="F25" i="1"/>
  <c r="F24" i="1"/>
  <c r="F21" i="1"/>
  <c r="F12" i="1"/>
  <c r="D12" i="1"/>
  <c r="D11" i="1"/>
  <c r="F11" i="1" s="1"/>
  <c r="D10" i="1"/>
  <c r="F10" i="1" s="1"/>
  <c r="D9" i="1"/>
  <c r="F9" i="1" s="1"/>
  <c r="D8" i="1"/>
  <c r="F8" i="1" s="1"/>
  <c r="D36" i="1"/>
  <c r="F36" i="1" s="1"/>
  <c r="D35" i="1"/>
  <c r="F35" i="1" s="1"/>
  <c r="D34" i="1"/>
  <c r="F34" i="1" s="1"/>
  <c r="D33" i="1"/>
  <c r="F33" i="1" s="1"/>
  <c r="D32" i="1"/>
  <c r="F32" i="1" s="1"/>
  <c r="F37" i="1" s="1"/>
  <c r="D25" i="1"/>
  <c r="D24" i="1"/>
  <c r="D23" i="1"/>
  <c r="F23" i="1" s="1"/>
  <c r="D22" i="1"/>
  <c r="F22" i="1" s="1"/>
  <c r="D21" i="1"/>
  <c r="F13" i="1" l="1"/>
  <c r="G14" i="1" s="1"/>
</calcChain>
</file>

<file path=xl/sharedStrings.xml><?xml version="1.0" encoding="utf-8"?>
<sst xmlns="http://schemas.openxmlformats.org/spreadsheetml/2006/main" count="38" uniqueCount="15">
  <si>
    <t>BTC</t>
  </si>
  <si>
    <t>ETH</t>
  </si>
  <si>
    <t>XRP</t>
  </si>
  <si>
    <t>LTC</t>
  </si>
  <si>
    <t>NEO</t>
  </si>
  <si>
    <t>Units Held</t>
  </si>
  <si>
    <t>Value per Unit</t>
  </si>
  <si>
    <t>USD</t>
  </si>
  <si>
    <t>FY2021</t>
  </si>
  <si>
    <t>FY2020</t>
  </si>
  <si>
    <t>USD Value</t>
  </si>
  <si>
    <t>Exchange Rate</t>
  </si>
  <si>
    <t>ZAR Value</t>
  </si>
  <si>
    <t>CRYPTO</t>
  </si>
  <si>
    <t>FY2022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</si>
</sst>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2" fontId="0" fillId="0" borderId="0" xfId="0" applyNumberFormat="1"/>
    <xf numFmtId="0" fontId="2" fillId="0" borderId="2" xfId="0" applyFont="1" applyBorder="1"/>
    <xf numFmtId="0" fontId="0" fillId="0" borderId="3" xfId="0" applyBorder="1"/>
    <xf numFmtId="0" fontId="3" fillId="0" borderId="3" xfId="0" applyFont="1" applyBorder="1" applyAlignment="1">
      <alignment horizontal="right"/>
    </xf>
    <xf numFmtId="0" fontId="0" fillId="0" borderId="4" xfId="0" applyBorder="1"/>
    <xf numFmtId="0" fontId="0" fillId="0" borderId="5" xfId="0" applyBorder="1"/>
    <xf numFmtId="15" fontId="0" fillId="0" borderId="0" xfId="0" applyNumberFormat="1"/>
    <xf numFmtId="0" fontId="0" fillId="0" borderId="6" xfId="0" applyBorder="1"/>
    <xf numFmtId="0" fontId="0" fillId="0" borderId="7" xfId="0" applyBorder="1"/>
    <xf numFmtId="2" fontId="0" fillId="0" borderId="8" xfId="0" applyNumberFormat="1" applyBorder="1"/>
    <xf numFmtId="0" fontId="0" fillId="0" borderId="9" xfId="0" applyBorder="1"/>
    <xf numFmtId="0" fontId="0" fillId="0" borderId="10" xfId="0" applyBorder="1"/>
    <xf numFmtId="2" fontId="1" fillId="0" borderId="11" xfId="0" applyNumberFormat="1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25F9-49C5-024C-B2E4-91AA61719562}">
  <dimension ref="A3:G38"/>
  <sheetViews>
    <sheetView tabSelected="1" workbookViewId="0">
      <selection activeCell="G15" sqref="G15"/>
    </sheetView>
  </sheetViews>
  <sheetFormatPr baseColWidth="10" defaultRowHeight="16" x14ac:dyDescent="0.2"/>
  <cols>
    <col min="3" max="3" width="12.6640625" customWidth="1"/>
    <col min="6" max="6" width="12.6640625" bestFit="1" customWidth="1"/>
  </cols>
  <sheetData>
    <row r="3" spans="1:7" ht="17" thickBot="1" x14ac:dyDescent="0.25"/>
    <row r="4" spans="1:7" ht="26" x14ac:dyDescent="0.3">
      <c r="A4" s="3" t="s">
        <v>13</v>
      </c>
      <c r="B4" s="4"/>
      <c r="C4" s="5" t="s">
        <v>14</v>
      </c>
      <c r="D4" s="4"/>
      <c r="E4" s="4"/>
      <c r="F4" s="6"/>
    </row>
    <row r="5" spans="1:7" x14ac:dyDescent="0.2">
      <c r="A5" s="7"/>
      <c r="C5" s="8">
        <v>44620</v>
      </c>
      <c r="F5" s="9"/>
    </row>
    <row r="6" spans="1:7" x14ac:dyDescent="0.2">
      <c r="A6" s="7"/>
      <c r="C6" t="s">
        <v>6</v>
      </c>
      <c r="F6" s="9"/>
    </row>
    <row r="7" spans="1:7" x14ac:dyDescent="0.2">
      <c r="A7" s="7"/>
      <c r="B7" t="s">
        <v>5</v>
      </c>
      <c r="C7" t="s">
        <v>7</v>
      </c>
      <c r="D7" t="s">
        <v>10</v>
      </c>
      <c r="E7" t="s">
        <v>11</v>
      </c>
      <c r="F7" s="9" t="s">
        <v>12</v>
      </c>
    </row>
    <row r="8" spans="1:7" x14ac:dyDescent="0.2">
      <c r="A8" s="10" t="s">
        <v>0</v>
      </c>
      <c r="B8" s="1">
        <v>0.20666399999999999</v>
      </c>
      <c r="C8" s="1">
        <v>37709.78</v>
      </c>
      <c r="D8" s="1">
        <f>B8*C8</f>
        <v>7793.2539739199992</v>
      </c>
      <c r="E8" s="1">
        <v>15.299899999999999</v>
      </c>
      <c r="F8" s="11">
        <f>D8*E8</f>
        <v>119236.00647557859</v>
      </c>
    </row>
    <row r="9" spans="1:7" x14ac:dyDescent="0.2">
      <c r="A9" s="10" t="s">
        <v>1</v>
      </c>
      <c r="B9" s="1">
        <v>3</v>
      </c>
      <c r="C9" s="1">
        <v>2621.8</v>
      </c>
      <c r="D9" s="1">
        <f t="shared" ref="D9:D12" si="0">B9*C9</f>
        <v>7865.4000000000005</v>
      </c>
      <c r="E9" s="1">
        <v>15.299899999999999</v>
      </c>
      <c r="F9" s="11">
        <f t="shared" ref="F9:F12" si="1">D9*E9</f>
        <v>120339.83346000001</v>
      </c>
    </row>
    <row r="10" spans="1:7" x14ac:dyDescent="0.2">
      <c r="A10" s="10" t="s">
        <v>2</v>
      </c>
      <c r="B10" s="1">
        <v>750</v>
      </c>
      <c r="C10" s="1">
        <v>0.72199999999999998</v>
      </c>
      <c r="D10" s="1">
        <f t="shared" si="0"/>
        <v>541.5</v>
      </c>
      <c r="E10" s="1">
        <v>15.299899999999999</v>
      </c>
      <c r="F10" s="11">
        <f t="shared" si="1"/>
        <v>8284.895849999999</v>
      </c>
    </row>
    <row r="11" spans="1:7" x14ac:dyDescent="0.2">
      <c r="A11" s="10" t="s">
        <v>3</v>
      </c>
      <c r="B11" s="1">
        <v>3.5</v>
      </c>
      <c r="C11" s="1">
        <v>103.11</v>
      </c>
      <c r="D11" s="1">
        <f t="shared" si="0"/>
        <v>360.88499999999999</v>
      </c>
      <c r="E11" s="1">
        <v>15.299899999999999</v>
      </c>
      <c r="F11" s="11">
        <f t="shared" si="1"/>
        <v>5521.5044114999992</v>
      </c>
    </row>
    <row r="12" spans="1:7" x14ac:dyDescent="0.2">
      <c r="A12" s="10" t="s">
        <v>4</v>
      </c>
      <c r="B12" s="1">
        <v>5</v>
      </c>
      <c r="C12" s="1">
        <v>19.88</v>
      </c>
      <c r="D12" s="1">
        <f t="shared" si="0"/>
        <v>99.399999999999991</v>
      </c>
      <c r="E12" s="1">
        <v>15.299899999999999</v>
      </c>
      <c r="F12" s="11">
        <f t="shared" si="1"/>
        <v>1520.8100599999998</v>
      </c>
    </row>
    <row r="13" spans="1:7" ht="17" thickBot="1" x14ac:dyDescent="0.25">
      <c r="A13" s="12"/>
      <c r="B13" s="13"/>
      <c r="C13" s="13"/>
      <c r="D13" s="13"/>
      <c r="E13" s="13"/>
      <c r="F13" s="14">
        <f>SUM(F8:F12)</f>
        <v>254903.05025707858</v>
      </c>
    </row>
    <row r="14" spans="1:7" x14ac:dyDescent="0.2">
      <c r="G14" s="2">
        <f>F13-F26</f>
        <v>6160.2200946014782</v>
      </c>
    </row>
    <row r="16" spans="1:7" ht="17" thickBot="1" x14ac:dyDescent="0.25"/>
    <row r="17" spans="1:7" ht="26" x14ac:dyDescent="0.3">
      <c r="A17" s="3" t="s">
        <v>13</v>
      </c>
      <c r="B17" s="4"/>
      <c r="C17" s="5" t="s">
        <v>8</v>
      </c>
      <c r="D17" s="4"/>
      <c r="E17" s="4"/>
      <c r="F17" s="6"/>
    </row>
    <row r="18" spans="1:7" x14ac:dyDescent="0.2">
      <c r="A18" s="7"/>
      <c r="C18" s="8">
        <v>44255</v>
      </c>
      <c r="F18" s="9"/>
    </row>
    <row r="19" spans="1:7" x14ac:dyDescent="0.2">
      <c r="A19" s="7"/>
      <c r="C19" t="s">
        <v>6</v>
      </c>
      <c r="F19" s="9"/>
    </row>
    <row r="20" spans="1:7" x14ac:dyDescent="0.2">
      <c r="A20" s="7"/>
      <c r="B20" t="s">
        <v>5</v>
      </c>
      <c r="C20" t="s">
        <v>7</v>
      </c>
      <c r="D20" t="s">
        <v>10</v>
      </c>
      <c r="E20" t="s">
        <v>11</v>
      </c>
      <c r="F20" s="9" t="s">
        <v>12</v>
      </c>
    </row>
    <row r="21" spans="1:7" x14ac:dyDescent="0.2">
      <c r="A21" s="10" t="s">
        <v>0</v>
      </c>
      <c r="B21" s="1">
        <v>0.20666399999999999</v>
      </c>
      <c r="C21" s="1">
        <v>45137.77</v>
      </c>
      <c r="D21" s="1">
        <f>B21*C21</f>
        <v>9328.3520992799986</v>
      </c>
      <c r="E21" s="1">
        <v>16.990100000000002</v>
      </c>
      <c r="F21" s="11">
        <f>D21*E21</f>
        <v>158489.63500197712</v>
      </c>
    </row>
    <row r="22" spans="1:7" x14ac:dyDescent="0.2">
      <c r="A22" s="10" t="s">
        <v>1</v>
      </c>
      <c r="B22" s="1">
        <v>3</v>
      </c>
      <c r="C22" s="1">
        <v>1416.05</v>
      </c>
      <c r="D22" s="1">
        <f t="shared" ref="D22:D25" si="2">B22*C22</f>
        <v>4248.1499999999996</v>
      </c>
      <c r="E22" s="1">
        <v>16.990100000000002</v>
      </c>
      <c r="F22" s="11">
        <f t="shared" ref="F22:F25" si="3">D22*E22</f>
        <v>72176.493315</v>
      </c>
    </row>
    <row r="23" spans="1:7" x14ac:dyDescent="0.2">
      <c r="A23" s="10" t="s">
        <v>2</v>
      </c>
      <c r="B23" s="1">
        <v>750</v>
      </c>
      <c r="C23" s="1">
        <v>0.41499999999999998</v>
      </c>
      <c r="D23" s="1">
        <f t="shared" si="2"/>
        <v>311.25</v>
      </c>
      <c r="E23" s="1">
        <v>16.990100000000002</v>
      </c>
      <c r="F23" s="11">
        <f t="shared" si="3"/>
        <v>5288.1686250000002</v>
      </c>
    </row>
    <row r="24" spans="1:7" x14ac:dyDescent="0.2">
      <c r="A24" s="10" t="s">
        <v>3</v>
      </c>
      <c r="B24" s="1">
        <v>3.5</v>
      </c>
      <c r="C24" s="1">
        <v>164.93</v>
      </c>
      <c r="D24" s="1">
        <f t="shared" si="2"/>
        <v>577.255</v>
      </c>
      <c r="E24" s="1">
        <v>16.990100000000002</v>
      </c>
      <c r="F24" s="11">
        <f t="shared" si="3"/>
        <v>9807.6201755000002</v>
      </c>
    </row>
    <row r="25" spans="1:7" x14ac:dyDescent="0.2">
      <c r="A25" s="10" t="s">
        <v>4</v>
      </c>
      <c r="B25" s="1">
        <v>5</v>
      </c>
      <c r="C25" s="1">
        <v>35.090000000000003</v>
      </c>
      <c r="D25" s="1">
        <f t="shared" si="2"/>
        <v>175.45000000000002</v>
      </c>
      <c r="E25" s="1">
        <v>16.990100000000002</v>
      </c>
      <c r="F25" s="11">
        <f t="shared" si="3"/>
        <v>2980.9130450000007</v>
      </c>
    </row>
    <row r="26" spans="1:7" ht="17" thickBot="1" x14ac:dyDescent="0.25">
      <c r="A26" s="12"/>
      <c r="B26" s="13"/>
      <c r="C26" s="13"/>
      <c r="D26" s="13"/>
      <c r="E26" s="13"/>
      <c r="F26" s="14">
        <f>SUM(F21:F25)</f>
        <v>248742.8301624771</v>
      </c>
    </row>
    <row r="27" spans="1:7" ht="17" thickBot="1" x14ac:dyDescent="0.25">
      <c r="G27" s="2">
        <f>F26-F37</f>
        <v>204024.09965997067</v>
      </c>
    </row>
    <row r="28" spans="1:7" ht="24" x14ac:dyDescent="0.3">
      <c r="A28" s="15"/>
      <c r="B28" s="4"/>
      <c r="C28" s="5" t="s">
        <v>9</v>
      </c>
      <c r="D28" s="4"/>
      <c r="E28" s="4"/>
      <c r="F28" s="6"/>
    </row>
    <row r="29" spans="1:7" x14ac:dyDescent="0.2">
      <c r="A29" s="7"/>
      <c r="C29" s="8">
        <v>43890</v>
      </c>
      <c r="F29" s="9"/>
    </row>
    <row r="30" spans="1:7" x14ac:dyDescent="0.2">
      <c r="A30" s="7"/>
      <c r="C30" t="s">
        <v>6</v>
      </c>
      <c r="F30" s="9"/>
    </row>
    <row r="31" spans="1:7" x14ac:dyDescent="0.2">
      <c r="A31" s="7"/>
      <c r="B31" t="s">
        <v>5</v>
      </c>
      <c r="C31" t="s">
        <v>7</v>
      </c>
      <c r="D31" t="s">
        <v>10</v>
      </c>
      <c r="E31" t="s">
        <v>11</v>
      </c>
      <c r="F31" s="9" t="s">
        <v>12</v>
      </c>
    </row>
    <row r="32" spans="1:7" x14ac:dyDescent="0.2">
      <c r="A32" s="10" t="s">
        <v>0</v>
      </c>
      <c r="B32" s="1">
        <v>0.20666399999999999</v>
      </c>
      <c r="C32" s="1">
        <v>8562.4500000000007</v>
      </c>
      <c r="D32" s="1">
        <f>B32*C32</f>
        <v>1769.5501667999999</v>
      </c>
      <c r="E32" s="1">
        <v>15.64812</v>
      </c>
      <c r="F32" s="11">
        <f>D32*E32</f>
        <v>27690.133356106417</v>
      </c>
    </row>
    <row r="33" spans="1:6" x14ac:dyDescent="0.2">
      <c r="A33" s="10" t="s">
        <v>1</v>
      </c>
      <c r="B33" s="1">
        <v>3</v>
      </c>
      <c r="C33" s="1">
        <v>218.97</v>
      </c>
      <c r="D33" s="1">
        <f t="shared" ref="D33:D36" si="4">B33*C33</f>
        <v>656.91</v>
      </c>
      <c r="E33" s="1">
        <v>15.64812</v>
      </c>
      <c r="F33" s="11">
        <f t="shared" ref="F33:F36" si="5">D33*E33</f>
        <v>10279.4065092</v>
      </c>
    </row>
    <row r="34" spans="1:6" x14ac:dyDescent="0.2">
      <c r="A34" s="10" t="s">
        <v>2</v>
      </c>
      <c r="B34" s="1">
        <v>750</v>
      </c>
      <c r="C34" s="1">
        <v>0.2288</v>
      </c>
      <c r="D34" s="1">
        <f t="shared" si="4"/>
        <v>171.6</v>
      </c>
      <c r="E34" s="1">
        <v>15.64812</v>
      </c>
      <c r="F34" s="11">
        <f t="shared" si="5"/>
        <v>2685.217392</v>
      </c>
    </row>
    <row r="35" spans="1:6" x14ac:dyDescent="0.2">
      <c r="A35" s="10" t="s">
        <v>3</v>
      </c>
      <c r="B35" s="1">
        <v>3.5</v>
      </c>
      <c r="C35" s="1">
        <v>57.96</v>
      </c>
      <c r="D35" s="1">
        <f t="shared" si="4"/>
        <v>202.86</v>
      </c>
      <c r="E35" s="1">
        <v>15.64812</v>
      </c>
      <c r="F35" s="11">
        <f t="shared" si="5"/>
        <v>3174.3776232000005</v>
      </c>
    </row>
    <row r="36" spans="1:6" x14ac:dyDescent="0.2">
      <c r="A36" s="10" t="s">
        <v>4</v>
      </c>
      <c r="B36" s="1">
        <v>5</v>
      </c>
      <c r="C36" s="1">
        <v>11.37</v>
      </c>
      <c r="D36" s="1">
        <f t="shared" si="4"/>
        <v>56.849999999999994</v>
      </c>
      <c r="E36" s="1">
        <v>15.64812</v>
      </c>
      <c r="F36" s="11">
        <f t="shared" si="5"/>
        <v>889.59562199999993</v>
      </c>
    </row>
    <row r="37" spans="1:6" ht="17" thickBot="1" x14ac:dyDescent="0.25">
      <c r="A37" s="12"/>
      <c r="B37" s="13"/>
      <c r="C37" s="13"/>
      <c r="D37" s="13"/>
      <c r="E37" s="13"/>
      <c r="F37" s="14">
        <f>SUM(F32:F36)</f>
        <v>44718.73050250642</v>
      </c>
    </row>
    <row r="38" spans="1:6" ht="17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Hamann</dc:creator>
  <cp:lastModifiedBy>Microsoft Office User</cp:lastModifiedBy>
  <dcterms:created xsi:type="dcterms:W3CDTF">2021-05-07T10:50:19Z</dcterms:created>
  <dcterms:modified xsi:type="dcterms:W3CDTF">2023-04-13T14:28:22Z</dcterms:modified>
</cp:coreProperties>
</file>